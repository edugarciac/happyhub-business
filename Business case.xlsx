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Users/e.garcia.casas/Code/happyhub/"/>
    </mc:Choice>
  </mc:AlternateContent>
  <xr:revisionPtr revIDLastSave="0" documentId="13_ncr:1_{1DDF65CD-1943-3E42-AF0D-0108B829D425}" xr6:coauthVersionLast="47" xr6:coauthVersionMax="47" xr10:uidLastSave="{00000000-0000-0000-0000-000000000000}"/>
  <bookViews>
    <workbookView xWindow="18300" yWindow="2300" windowWidth="23260" windowHeight="13900" firstSheet="1" activeTab="1" xr2:uid="{00000000-000D-0000-FFFF-FFFF00000000}"/>
  </bookViews>
  <sheets>
    <sheet name="Business Cases" sheetId="14" r:id="rId1"/>
    <sheet name="Inversión inicial" sheetId="3" r:id="rId2"/>
    <sheet name="Coste estimado por fase" sheetId="7" r:id="rId3"/>
    <sheet name="Pasos" sheetId="8" r:id="rId4"/>
    <sheet name="Hoja4" sheetId="9" r:id="rId5"/>
    <sheet name="Hipoteca" sheetId="2" r:id="rId6"/>
    <sheet name="Gastos verano 2025" sheetId="6" r:id="rId7"/>
    <sheet name="Alarma" sheetId="10" r:id="rId8"/>
    <sheet name="Gastos mensuales" sheetId="1" r:id="rId9"/>
    <sheet name="Ideas" sheetId="4" r:id="rId10"/>
    <sheet name="pastillas ana" sheetId="13" r:id="rId1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0" l="1"/>
  <c r="B5" i="6"/>
  <c r="B16" i="6"/>
  <c r="B19" i="6"/>
  <c r="C25" i="6"/>
  <c r="C26" i="6"/>
  <c r="C24" i="6"/>
  <c r="D21" i="1"/>
  <c r="D23" i="1"/>
  <c r="D26" i="1"/>
  <c r="B13" i="1"/>
  <c r="C13" i="1"/>
  <c r="D13" i="1"/>
  <c r="D1" i="2"/>
  <c r="D19" i="3"/>
  <c r="B15" i="1"/>
  <c r="D18" i="3"/>
  <c r="D20" i="3"/>
  <c r="D21" i="3"/>
</calcChain>
</file>

<file path=xl/sharedStrings.xml><?xml version="1.0" encoding="utf-8"?>
<sst xmlns="http://schemas.openxmlformats.org/spreadsheetml/2006/main" count="279" uniqueCount="202">
  <si>
    <t>Concepto</t>
  </si>
  <si>
    <t>Importe (€)</t>
  </si>
  <si>
    <t>Hipoteca</t>
  </si>
  <si>
    <t>Electricidad</t>
  </si>
  <si>
    <t>Agua</t>
  </si>
  <si>
    <t>Internet y teléfono</t>
  </si>
  <si>
    <t>Seguro del local</t>
  </si>
  <si>
    <t>Marketing y publicidad</t>
  </si>
  <si>
    <t>Limpieza y mantenimiento</t>
  </si>
  <si>
    <t>IBI (prorrateado mensual)</t>
  </si>
  <si>
    <t>Licencia de apertura (prorrateado)</t>
  </si>
  <si>
    <t>Autónomos/gestoría</t>
  </si>
  <si>
    <t>Ingresos mensuales</t>
  </si>
  <si>
    <t>Beneficio neto mensual</t>
  </si>
  <si>
    <t>Tipo de interés: 2% anual</t>
  </si>
  <si>
    <t>TOTAL GASTOS MES</t>
  </si>
  <si>
    <t>CONCEPTO</t>
  </si>
  <si>
    <t>IMPORTE</t>
  </si>
  <si>
    <t>TIPO</t>
  </si>
  <si>
    <t>Reforma</t>
  </si>
  <si>
    <t>Enyesar paredes</t>
  </si>
  <si>
    <t>cambiar suelo</t>
  </si>
  <si>
    <t>Arreglar techo</t>
  </si>
  <si>
    <t>IDEA</t>
  </si>
  <si>
    <t>COMENTARIOS</t>
  </si>
  <si>
    <t>Catering al lucas</t>
  </si>
  <si>
    <t>Usar la plaza para pruebas</t>
  </si>
  <si>
    <t>Carreras de zancos, sacos, etc.</t>
  </si>
  <si>
    <t>Juegos de agua en la plaza</t>
  </si>
  <si>
    <t>Colgar decoración en el balcon</t>
  </si>
  <si>
    <t>Hacer hueco de trastero para decorados</t>
  </si>
  <si>
    <t>Decorado temático</t>
  </si>
  <si>
    <t>Halloween, carnaval, etc.</t>
  </si>
  <si>
    <t>Hacer un túnel del terror</t>
  </si>
  <si>
    <t>Entrando por un lado y saliendo por otro</t>
  </si>
  <si>
    <t>Poner tirador de cerveza</t>
  </si>
  <si>
    <t>Poner neveras grandes de bar</t>
  </si>
  <si>
    <t>Piscina de bolas alta</t>
  </si>
  <si>
    <t>para aprovechar la altura del techo</t>
  </si>
  <si>
    <t>Aire acondicionado</t>
  </si>
  <si>
    <t>Cambiar persianas</t>
  </si>
  <si>
    <t>Extra</t>
  </si>
  <si>
    <t>Alarma</t>
  </si>
  <si>
    <t>Tirar tabique provisional</t>
  </si>
  <si>
    <t>Cajon de pladur</t>
  </si>
  <si>
    <t>Añadir puerta de emergencia</t>
  </si>
  <si>
    <t>SUMA REFORMA</t>
  </si>
  <si>
    <t>SUMA EXTRAS</t>
  </si>
  <si>
    <t>Enchufes</t>
  </si>
  <si>
    <t>TOTAL</t>
  </si>
  <si>
    <t>Insonorización</t>
  </si>
  <si>
    <t>BANCO</t>
  </si>
  <si>
    <t>CONDICIONES</t>
  </si>
  <si>
    <t>INTERES (TAE)</t>
  </si>
  <si>
    <t>BBVA</t>
  </si>
  <si>
    <t>Bankinter</t>
  </si>
  <si>
    <t>Mesas y sillas</t>
  </si>
  <si>
    <t>Importe</t>
  </si>
  <si>
    <t>Plazo</t>
  </si>
  <si>
    <t>Gasto</t>
  </si>
  <si>
    <t>Capilclinic</t>
  </si>
  <si>
    <t>Fecha</t>
  </si>
  <si>
    <t>Descripcion</t>
  </si>
  <si>
    <t>Hacienda</t>
  </si>
  <si>
    <t>Waterworld</t>
  </si>
  <si>
    <t>Entrada</t>
  </si>
  <si>
    <t>Arras</t>
  </si>
  <si>
    <t>Gastos hipoteca</t>
  </si>
  <si>
    <t>Vacaciones</t>
  </si>
  <si>
    <t>dentista</t>
  </si>
  <si>
    <t>caldera</t>
  </si>
  <si>
    <t>cambiar o reparar?</t>
  </si>
  <si>
    <t>madera?</t>
  </si>
  <si>
    <t>Fase</t>
  </si>
  <si>
    <t>Fase1</t>
  </si>
  <si>
    <t>Fase2</t>
  </si>
  <si>
    <t>Calendario Estimado por Fase - Tramitación Licencias</t>
  </si>
  <si>
    <t>Duración Estimada</t>
  </si>
  <si>
    <t>Responsable</t>
  </si>
  <si>
    <t>Observaciones</t>
  </si>
  <si>
    <t>Contratar técnico</t>
  </si>
  <si>
    <t>1 semana</t>
  </si>
  <si>
    <t>Promotor</t>
  </si>
  <si>
    <t>Buscar técnico colegiado con experiencia en locales de pública concurrencia</t>
  </si>
  <si>
    <t>Elaboración de proyectos técnicos</t>
  </si>
  <si>
    <t>2-3 semanas</t>
  </si>
  <si>
    <t>Técnico</t>
  </si>
  <si>
    <t>Incluye memoria técnica, planos, proyectos acústicos, eléctrico y accesibilidad</t>
  </si>
  <si>
    <t>Presentar solicitud o declaración responsable</t>
  </si>
  <si>
    <t>1 día</t>
  </si>
  <si>
    <t>Promotor / Técnico</t>
  </si>
  <si>
    <t>Se puede hacer en paralelo a la redacción final si se usa vía exprés</t>
  </si>
  <si>
    <t>Tramitación licencia ambiental</t>
  </si>
  <si>
    <t>2-4 semanas</t>
  </si>
  <si>
    <t>Ayuntamiento</t>
  </si>
  <si>
    <t>Puede variar según la carga del área de medio ambiente</t>
  </si>
  <si>
    <t>Tramitación licencia de obras</t>
  </si>
  <si>
    <t>1-2 semanas</t>
  </si>
  <si>
    <t>Solo si se hacen obras con reforma de instalaciones</t>
  </si>
  <si>
    <t>Ejecución de obras</t>
  </si>
  <si>
    <t>Dependerá del alcance de reforma e instaladores</t>
  </si>
  <si>
    <t>Presentar declaración sanitaria</t>
  </si>
  <si>
    <t>Aplicable solo si hay catering</t>
  </si>
  <si>
    <t>Inspección municipal</t>
  </si>
  <si>
    <t>Revisión de cumplimiento técnico y normativo</t>
  </si>
  <si>
    <t>Recepción de licencia definitiva</t>
  </si>
  <si>
    <t>Tras validación final</t>
  </si>
  <si>
    <t>Checklist de Pasos para Obtener Licencias</t>
  </si>
  <si>
    <t>1. Contratar técnico (ingeniero o arquitecto) para proyecto de actividad.</t>
  </si>
  <si>
    <t>2. Elaborar proyecto de instalaciones, accesibilidad, acústica y eléctrico.</t>
  </si>
  <si>
    <t>3. Presentar declaración responsable o solicitud formal de licencia.</t>
  </si>
  <si>
    <t>4. Solicitar licencia ambiental según el Anexo III de la Ley catalana.</t>
  </si>
  <si>
    <t>5. Pedir licencia de obras si se hacen reformas interiores.</t>
  </si>
  <si>
    <t>6. Hacer adecuaciones necesarias (baños accesibles, aislamiento acústico, ventilación).</t>
  </si>
  <si>
    <t>7. Presentar declaración sanitaria si hay manipulación de alimentos.</t>
  </si>
  <si>
    <t>8. Pasar inspección municipal.</t>
  </si>
  <si>
    <t>9. Recoger licencia de apertura definitiva.</t>
  </si>
  <si>
    <t>Checklist de Licencias y Costes - Local de Celebraciones</t>
  </si>
  <si>
    <t>Descripción</t>
  </si>
  <si>
    <t>Coste Estimado (€)</t>
  </si>
  <si>
    <t>Licencia de actividad + proyecto</t>
  </si>
  <si>
    <t>Permiso municipal para uso del local como sala de fiestas/eventos</t>
  </si>
  <si>
    <t>400 – 1.500 + IVA</t>
  </si>
  <si>
    <t>Licencia ambiental / comunicación previa</t>
  </si>
  <si>
    <t>Autorización ambiental por impacto acústico y aforo</t>
  </si>
  <si>
    <t>Licencia de obras + proyecto eléctrico</t>
  </si>
  <si>
    <t>Obligatorio si hay reformas estructurales o instalaciones nuevas</t>
  </si>
  <si>
    <t>800 – 2.000</t>
  </si>
  <si>
    <t>Proyectos técnicos</t>
  </si>
  <si>
    <t>Acústica, accesibilidad, ventilación, seguridad contra incendios</t>
  </si>
  <si>
    <t>1.000 – 2.500</t>
  </si>
  <si>
    <t>Declaración sanitaria</t>
  </si>
  <si>
    <t>Registro si se manipulan o sirven alimentos (catering)</t>
  </si>
  <si>
    <t>200 – 500</t>
  </si>
  <si>
    <t>Tasas municipales</t>
  </si>
  <si>
    <t>Tasas de tramitación en el Ayuntamiento</t>
  </si>
  <si>
    <t>200 – 600</t>
  </si>
  <si>
    <t>TOTAL ESTIMADO</t>
  </si>
  <si>
    <t>Presupuesto orientativo con márgenes</t>
  </si>
  <si>
    <t>3.000 – 8.000 + IVA</t>
  </si>
  <si>
    <t>Licencia y proyecto</t>
  </si>
  <si>
    <t>CUENTA</t>
  </si>
  <si>
    <t>ahorro</t>
  </si>
  <si>
    <t>Posponer a mas adelante</t>
  </si>
  <si>
    <t>epoxi?</t>
  </si>
  <si>
    <t>FECHA</t>
  </si>
  <si>
    <t>Conectar salas</t>
  </si>
  <si>
    <t>Actividad</t>
  </si>
  <si>
    <t>colchon</t>
  </si>
  <si>
    <t>hipoteca</t>
  </si>
  <si>
    <t>reforma</t>
  </si>
  <si>
    <t>Aluminio</t>
  </si>
  <si>
    <t>Contingencia</t>
  </si>
  <si>
    <t>Cuota mensual estimada: 700 €</t>
  </si>
  <si>
    <t>tasación</t>
  </si>
  <si>
    <t>gastos</t>
  </si>
  <si>
    <t>TOTAL EFECTIVO</t>
  </si>
  <si>
    <t>DISPOSITIVO</t>
  </si>
  <si>
    <t xml:space="preserve">PRECIO </t>
  </si>
  <si>
    <t>LINK</t>
  </si>
  <si>
    <t>https://amzn.eu/d/2SXn0PN</t>
  </si>
  <si>
    <t>AJ-HUB2-4G-W</t>
  </si>
  <si>
    <t>https://amzn.eu/d/bDRvsM8</t>
  </si>
  <si>
    <t>DOORPROTECT PLUS</t>
  </si>
  <si>
    <t>MOTIONCAM</t>
  </si>
  <si>
    <t>STREETSIREN W</t>
  </si>
  <si>
    <t>SECALIP</t>
  </si>
  <si>
    <t>VALACICLOVIR</t>
  </si>
  <si>
    <t>VIMOVO</t>
  </si>
  <si>
    <t>PASTILLA</t>
  </si>
  <si>
    <t>PARA QUE</t>
  </si>
  <si>
    <t>CUANDO</t>
  </si>
  <si>
    <t>Grasas</t>
  </si>
  <si>
    <t>Herpes</t>
  </si>
  <si>
    <t>CADA CUANTO</t>
  </si>
  <si>
    <t>HASTA?</t>
  </si>
  <si>
    <t>Cada 12 horas</t>
  </si>
  <si>
    <t>13h mediodia / 1h noche</t>
  </si>
  <si>
    <t>1 al día</t>
  </si>
  <si>
    <t>Mediodia (antes de comer)</t>
  </si>
  <si>
    <t>Dolor pierna</t>
  </si>
  <si>
    <t>Cada 6 horas</t>
  </si>
  <si>
    <t>Ojo</t>
  </si>
  <si>
    <t>PRE FORTE</t>
  </si>
  <si>
    <t>AZOPT</t>
  </si>
  <si>
    <t>DECO</t>
  </si>
  <si>
    <t>1 nodo adicional</t>
  </si>
  <si>
    <t>6% del total de la reforma</t>
  </si>
  <si>
    <t>oct</t>
  </si>
  <si>
    <t>Opción</t>
  </si>
  <si>
    <t>Escenario</t>
  </si>
  <si>
    <t>Ingreso anual (€)</t>
  </si>
  <si>
    <t>Inversión inicial (€)</t>
  </si>
  <si>
    <t>Costes fijos/vacancias (€)</t>
  </si>
  <si>
    <t>Beneficio neto anual (€)</t>
  </si>
  <si>
    <t>Alquilar 3 locales</t>
  </si>
  <si>
    <t>Pesimista</t>
  </si>
  <si>
    <t>Base</t>
  </si>
  <si>
    <t>Optimista</t>
  </si>
  <si>
    <t>Alquilar 2 locales</t>
  </si>
  <si>
    <t>Alquilar 1 local</t>
  </si>
  <si>
    <t>HappyHub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</si>
</sst>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_-* #,##0\ &quot;€&quot;_-;\-* #,##0\ &quot;€&quot;_-;_-* &quot;-&quot;??\ &quot;€&quot;_-;_-@_-"/>
    <numFmt numFmtId="166" formatCode="#,##0\ [$€-C0A]"/>
  </numFmts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Calibri"/>
      <family val="2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165" fontId="3" fillId="0" borderId="0" xfId="1" applyNumberFormat="1" applyFont="1"/>
    <xf numFmtId="165" fontId="0" fillId="0" borderId="0" xfId="1" applyNumberFormat="1" applyFont="1"/>
    <xf numFmtId="0" fontId="0" fillId="0" borderId="1" xfId="0" applyBorder="1"/>
    <xf numFmtId="165" fontId="0" fillId="0" borderId="1" xfId="1" applyNumberFormat="1" applyFont="1" applyBorder="1"/>
    <xf numFmtId="0" fontId="0" fillId="2" borderId="1" xfId="0" applyFill="1" applyBorder="1"/>
    <xf numFmtId="165" fontId="0" fillId="2" borderId="1" xfId="1" applyNumberFormat="1" applyFont="1" applyFill="1" applyBorder="1"/>
    <xf numFmtId="9" fontId="0" fillId="0" borderId="0" xfId="0" applyNumberFormat="1"/>
    <xf numFmtId="165" fontId="0" fillId="0" borderId="0" xfId="1" applyNumberFormat="1" applyFont="1" applyAlignment="1">
      <alignment wrapText="1"/>
    </xf>
    <xf numFmtId="16" fontId="0" fillId="0" borderId="0" xfId="0" applyNumberFormat="1"/>
    <xf numFmtId="166" fontId="0" fillId="0" borderId="0" xfId="0" applyNumberFormat="1"/>
    <xf numFmtId="165" fontId="0" fillId="0" borderId="0" xfId="1" applyNumberFormat="1" applyFont="1" applyBorder="1"/>
    <xf numFmtId="166" fontId="6" fillId="0" borderId="0" xfId="0" applyNumberFormat="1" applyFont="1"/>
    <xf numFmtId="16" fontId="6" fillId="0" borderId="0" xfId="0" applyNumberFormat="1" applyFont="1"/>
    <xf numFmtId="0" fontId="7" fillId="0" borderId="0" xfId="2"/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3">
    <cellStyle name="Currency" xfId="1" builtinId="4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amzn.eu/d/bDRvsM8" TargetMode="External"/><Relationship Id="rId1" Type="http://schemas.openxmlformats.org/officeDocument/2006/relationships/hyperlink" Target="https://amzn.eu/d/2SXn0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44E4-5D6A-CA49-9423-9C402D0486B2}">
  <dimension ref="A1:F13"/>
  <sheetViews>
    <sheetView zoomScale="140" zoomScaleNormal="140" workbookViewId="0">
      <selection activeCell="F46" sqref="F46"/>
    </sheetView>
  </sheetViews>
  <sheetFormatPr baseColWidth="10" defaultColWidth="8.83203125" defaultRowHeight="15" x14ac:dyDescent="0.2"/>
  <cols>
    <col min="1" max="1" width="14" bestFit="1" customWidth="1"/>
    <col min="2" max="2" width="8.6640625" bestFit="1" customWidth="1"/>
    <col min="3" max="3" width="13.6640625" bestFit="1" customWidth="1"/>
    <col min="4" max="4" width="15.1640625" bestFit="1" customWidth="1"/>
  </cols>
  <sheetData>
    <row r="1" spans="1:6" x14ac:dyDescent="0.2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</row>
    <row r="2" spans="1:6" x14ac:dyDescent="0.2">
      <c r="A2" t="s">
        <v>195</v>
      </c>
      <c r="B2" t="s">
        <v>196</v>
      </c>
      <c r="C2">
        <v>16200</v>
      </c>
      <c r="D2">
        <v>10000</v>
      </c>
      <c r="E2">
        <v>3300</v>
      </c>
      <c r="F2">
        <v>8700</v>
      </c>
    </row>
    <row r="3" spans="1:6" x14ac:dyDescent="0.2">
      <c r="A3" t="s">
        <v>195</v>
      </c>
      <c r="B3" t="s">
        <v>197</v>
      </c>
      <c r="C3">
        <v>19400</v>
      </c>
      <c r="D3">
        <v>15000</v>
      </c>
      <c r="E3">
        <v>3000</v>
      </c>
      <c r="F3">
        <v>12400</v>
      </c>
    </row>
    <row r="4" spans="1:6" x14ac:dyDescent="0.2">
      <c r="A4" t="s">
        <v>195</v>
      </c>
      <c r="B4" t="s">
        <v>198</v>
      </c>
      <c r="C4">
        <v>24200</v>
      </c>
      <c r="D4">
        <v>20000</v>
      </c>
      <c r="E4">
        <v>2400</v>
      </c>
      <c r="F4">
        <v>17800</v>
      </c>
    </row>
    <row r="5" spans="1:6" x14ac:dyDescent="0.2">
      <c r="A5" t="s">
        <v>199</v>
      </c>
      <c r="B5" t="s">
        <v>196</v>
      </c>
      <c r="C5">
        <v>16500</v>
      </c>
      <c r="D5">
        <v>8000</v>
      </c>
      <c r="E5">
        <v>3400</v>
      </c>
      <c r="F5">
        <v>9100</v>
      </c>
    </row>
    <row r="6" spans="1:6" x14ac:dyDescent="0.2">
      <c r="A6" t="s">
        <v>199</v>
      </c>
      <c r="B6" t="s">
        <v>197</v>
      </c>
      <c r="C6">
        <v>19500</v>
      </c>
      <c r="D6">
        <v>15000</v>
      </c>
      <c r="E6">
        <v>3000</v>
      </c>
      <c r="F6">
        <v>13500</v>
      </c>
    </row>
    <row r="7" spans="1:6" x14ac:dyDescent="0.2">
      <c r="A7" t="s">
        <v>199</v>
      </c>
      <c r="B7" t="s">
        <v>198</v>
      </c>
      <c r="C7">
        <v>24500</v>
      </c>
      <c r="D7">
        <v>22000</v>
      </c>
      <c r="E7">
        <v>2500</v>
      </c>
      <c r="F7">
        <v>19500</v>
      </c>
    </row>
    <row r="8" spans="1:6" x14ac:dyDescent="0.2">
      <c r="A8" t="s">
        <v>200</v>
      </c>
      <c r="B8" t="s">
        <v>196</v>
      </c>
      <c r="C8">
        <v>16200</v>
      </c>
      <c r="D8">
        <v>8000</v>
      </c>
      <c r="E8">
        <v>3300</v>
      </c>
      <c r="F8">
        <v>8900</v>
      </c>
    </row>
    <row r="9" spans="1:6" x14ac:dyDescent="0.2">
      <c r="A9" t="s">
        <v>200</v>
      </c>
      <c r="B9" t="s">
        <v>197</v>
      </c>
      <c r="C9">
        <v>19400</v>
      </c>
      <c r="D9">
        <v>12000</v>
      </c>
      <c r="E9">
        <v>3000</v>
      </c>
      <c r="F9">
        <v>13400</v>
      </c>
    </row>
    <row r="10" spans="1:6" x14ac:dyDescent="0.2">
      <c r="A10" t="s">
        <v>200</v>
      </c>
      <c r="B10" t="s">
        <v>198</v>
      </c>
      <c r="C10">
        <v>24200</v>
      </c>
      <c r="D10">
        <v>18000</v>
      </c>
      <c r="E10">
        <v>2500</v>
      </c>
      <c r="F10">
        <v>19200</v>
      </c>
    </row>
    <row r="11" spans="1:6" x14ac:dyDescent="0.2">
      <c r="A11" t="s">
        <v>201</v>
      </c>
      <c r="B11" t="s">
        <v>196</v>
      </c>
      <c r="C11">
        <v>24000</v>
      </c>
      <c r="D11">
        <v>60000</v>
      </c>
      <c r="E11">
        <v>11000</v>
      </c>
      <c r="F11">
        <v>-1000</v>
      </c>
    </row>
    <row r="12" spans="1:6" x14ac:dyDescent="0.2">
      <c r="A12" t="s">
        <v>201</v>
      </c>
      <c r="B12" t="s">
        <v>197</v>
      </c>
      <c r="C12">
        <v>48000</v>
      </c>
      <c r="D12">
        <v>90000</v>
      </c>
      <c r="E12">
        <v>20000</v>
      </c>
      <c r="F12">
        <v>28000</v>
      </c>
    </row>
    <row r="13" spans="1:6" x14ac:dyDescent="0.2">
      <c r="A13" t="s">
        <v>201</v>
      </c>
      <c r="B13" t="s">
        <v>198</v>
      </c>
      <c r="C13">
        <v>72000</v>
      </c>
      <c r="D13">
        <v>110000</v>
      </c>
      <c r="E13">
        <v>23000</v>
      </c>
      <c r="F13">
        <v>49000</v>
      </c>
    </row>
  </sheetData>
  <pageMargins left="0.75" right="0.75" top="1" bottom="1" header="0.5" footer="0.5"/>
  <headerFooter>
    <oddHeader>&amp;C&amp;"Aptos"&amp;10&amp;K000000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66556-6A64-314C-B7E6-FE340E85D7C7}">
  <dimension ref="A1:F21"/>
  <sheetViews>
    <sheetView tabSelected="1" zoomScaleNormal="150" zoomScaleSheetLayoutView="100" workbookViewId="0">
      <selection activeCell="D16" sqref="D16"/>
    </sheetView>
  </sheetViews>
  <sheetFormatPr baseColWidth="10" defaultColWidth="8.83203125" defaultRowHeight="15" x14ac:dyDescent="0.2"/>
  <cols>
    <col min="3" max="3" width="28.1640625" customWidth="1"/>
    <col min="4" max="4" width="13.83203125" style="7" customWidth="1"/>
    <col min="5" max="5" width="10.83203125" style="7" customWidth="1"/>
    <col min="6" max="6" width="25.5" customWidth="1"/>
  </cols>
  <sheetData>
    <row r="1" spans="1:6" x14ac:dyDescent="0.2">
      <c r="A1" s="5" t="s">
        <v>18</v>
      </c>
      <c r="B1" s="5" t="s">
        <v>73</v>
      </c>
      <c r="C1" s="5" t="s">
        <v>16</v>
      </c>
      <c r="D1" s="6" t="s">
        <v>17</v>
      </c>
      <c r="E1" s="6" t="s">
        <v>145</v>
      </c>
    </row>
    <row r="2" spans="1:6" x14ac:dyDescent="0.2">
      <c r="A2" t="s">
        <v>19</v>
      </c>
      <c r="B2" t="s">
        <v>74</v>
      </c>
      <c r="C2" t="s">
        <v>20</v>
      </c>
      <c r="D2" s="7">
        <v>2000</v>
      </c>
    </row>
    <row r="3" spans="1:6" x14ac:dyDescent="0.2">
      <c r="A3" t="s">
        <v>19</v>
      </c>
      <c r="B3" t="s">
        <v>74</v>
      </c>
      <c r="C3" t="s">
        <v>151</v>
      </c>
      <c r="D3" s="7">
        <v>700</v>
      </c>
      <c r="E3" s="7" t="s">
        <v>188</v>
      </c>
    </row>
    <row r="4" spans="1:6" x14ac:dyDescent="0.2">
      <c r="A4" t="s">
        <v>19</v>
      </c>
      <c r="B4" t="s">
        <v>74</v>
      </c>
      <c r="C4" t="s">
        <v>140</v>
      </c>
      <c r="D4" s="7">
        <v>2000</v>
      </c>
      <c r="E4" s="7" t="s">
        <v>188</v>
      </c>
      <c r="F4" t="s">
        <v>187</v>
      </c>
    </row>
    <row r="5" spans="1:6" x14ac:dyDescent="0.2">
      <c r="A5" t="s">
        <v>19</v>
      </c>
      <c r="B5" t="s">
        <v>74</v>
      </c>
      <c r="C5" t="s">
        <v>21</v>
      </c>
      <c r="D5" s="6">
        <v>10000</v>
      </c>
      <c r="F5" t="s">
        <v>144</v>
      </c>
    </row>
    <row r="6" spans="1:6" x14ac:dyDescent="0.2">
      <c r="A6" t="s">
        <v>19</v>
      </c>
      <c r="B6" t="s">
        <v>74</v>
      </c>
      <c r="C6" t="s">
        <v>22</v>
      </c>
      <c r="D6" s="7">
        <v>0</v>
      </c>
    </row>
    <row r="7" spans="1:6" x14ac:dyDescent="0.2">
      <c r="A7" t="s">
        <v>19</v>
      </c>
      <c r="B7" t="s">
        <v>74</v>
      </c>
      <c r="C7" t="s">
        <v>44</v>
      </c>
      <c r="D7" s="7">
        <v>450</v>
      </c>
      <c r="F7" t="s">
        <v>72</v>
      </c>
    </row>
    <row r="8" spans="1:6" x14ac:dyDescent="0.2">
      <c r="A8" t="s">
        <v>19</v>
      </c>
      <c r="B8" t="s">
        <v>74</v>
      </c>
      <c r="C8" t="s">
        <v>40</v>
      </c>
      <c r="D8" s="7">
        <v>3000</v>
      </c>
      <c r="E8" s="7" t="s">
        <v>188</v>
      </c>
      <c r="F8" t="s">
        <v>71</v>
      </c>
    </row>
    <row r="9" spans="1:6" x14ac:dyDescent="0.2">
      <c r="A9" t="s">
        <v>19</v>
      </c>
      <c r="B9" t="s">
        <v>74</v>
      </c>
      <c r="C9" t="s">
        <v>146</v>
      </c>
      <c r="D9" s="7">
        <v>1000</v>
      </c>
    </row>
    <row r="10" spans="1:6" x14ac:dyDescent="0.2">
      <c r="A10" t="s">
        <v>19</v>
      </c>
      <c r="B10" t="s">
        <v>74</v>
      </c>
      <c r="C10" t="s">
        <v>43</v>
      </c>
      <c r="D10" s="7">
        <v>500</v>
      </c>
      <c r="E10" s="7" t="s">
        <v>188</v>
      </c>
    </row>
    <row r="11" spans="1:6" x14ac:dyDescent="0.2">
      <c r="A11" t="s">
        <v>19</v>
      </c>
      <c r="B11" t="s">
        <v>74</v>
      </c>
      <c r="C11" t="s">
        <v>56</v>
      </c>
      <c r="D11" s="7">
        <v>2000</v>
      </c>
    </row>
    <row r="12" spans="1:6" x14ac:dyDescent="0.2">
      <c r="A12" t="s">
        <v>41</v>
      </c>
      <c r="B12" t="s">
        <v>74</v>
      </c>
      <c r="C12" t="s">
        <v>42</v>
      </c>
      <c r="D12" s="7">
        <v>1000</v>
      </c>
      <c r="E12" s="7" t="s">
        <v>188</v>
      </c>
    </row>
    <row r="13" spans="1:6" x14ac:dyDescent="0.2">
      <c r="A13" t="s">
        <v>41</v>
      </c>
      <c r="B13" t="s">
        <v>75</v>
      </c>
      <c r="C13" t="s">
        <v>39</v>
      </c>
      <c r="D13" s="7">
        <v>300</v>
      </c>
    </row>
    <row r="14" spans="1:6" x14ac:dyDescent="0.2">
      <c r="A14" t="s">
        <v>41</v>
      </c>
      <c r="B14" t="s">
        <v>75</v>
      </c>
      <c r="C14" t="s">
        <v>50</v>
      </c>
      <c r="D14" s="7">
        <v>10000</v>
      </c>
    </row>
    <row r="15" spans="1:6" x14ac:dyDescent="0.2">
      <c r="A15" t="s">
        <v>41</v>
      </c>
      <c r="B15" t="s">
        <v>75</v>
      </c>
      <c r="C15" t="s">
        <v>45</v>
      </c>
      <c r="D15" s="7">
        <v>0</v>
      </c>
    </row>
    <row r="16" spans="1:6" x14ac:dyDescent="0.2">
      <c r="A16" t="s">
        <v>41</v>
      </c>
      <c r="B16" t="s">
        <v>75</v>
      </c>
      <c r="C16" t="s">
        <v>48</v>
      </c>
      <c r="D16" s="7">
        <v>2000</v>
      </c>
    </row>
    <row r="18" spans="3:5" x14ac:dyDescent="0.2">
      <c r="C18" s="8" t="s">
        <v>46</v>
      </c>
      <c r="D18" s="9">
        <f>SUM(D1:D10)</f>
        <v>19650</v>
      </c>
      <c r="E18" s="16"/>
    </row>
    <row r="19" spans="3:5" x14ac:dyDescent="0.2">
      <c r="C19" s="8" t="s">
        <v>47</v>
      </c>
      <c r="D19" s="9">
        <f>SUM(D11:D16)</f>
        <v>15300</v>
      </c>
      <c r="E19" s="16"/>
    </row>
    <row r="20" spans="3:5" x14ac:dyDescent="0.2">
      <c r="C20" t="s">
        <v>152</v>
      </c>
      <c r="D20" s="7">
        <f>SUM(D18:D19)*0.1</f>
        <v>3495</v>
      </c>
    </row>
    <row r="21" spans="3:5" x14ac:dyDescent="0.2">
      <c r="C21" s="10" t="s">
        <v>49</v>
      </c>
      <c r="D21" s="11">
        <f>SUM(D18:D20)</f>
        <v>38445</v>
      </c>
      <c r="E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0C33-83F5-F74C-AC79-2A20FAE84BD5}">
  <dimension ref="A1:G11"/>
  <sheetViews>
    <sheetView zoomScaleNormal="150" zoomScaleSheetLayoutView="100" workbookViewId="0">
      <selection activeCell="A6" sqref="A6"/>
    </sheetView>
  </sheetViews>
  <sheetFormatPr baseColWidth="10" defaultColWidth="8.83203125" defaultRowHeight="15" x14ac:dyDescent="0.2"/>
  <cols>
    <col min="1" max="1" width="34.5" bestFit="1" customWidth="1"/>
    <col min="2" max="2" width="16" bestFit="1" customWidth="1"/>
    <col min="3" max="3" width="16.33203125" bestFit="1" customWidth="1"/>
    <col min="4" max="4" width="65.5" customWidth="1"/>
  </cols>
  <sheetData>
    <row r="1" spans="1:7" ht="19" x14ac:dyDescent="0.25">
      <c r="A1" s="21" t="s">
        <v>76</v>
      </c>
      <c r="B1" s="21"/>
      <c r="C1" s="21"/>
      <c r="D1" s="21"/>
      <c r="E1" s="21"/>
      <c r="F1" s="2"/>
      <c r="G1" s="2"/>
    </row>
    <row r="2" spans="1:7" ht="16" x14ac:dyDescent="0.2">
      <c r="A2" s="2" t="s">
        <v>73</v>
      </c>
      <c r="B2" s="2" t="s">
        <v>77</v>
      </c>
      <c r="C2" s="2" t="s">
        <v>78</v>
      </c>
      <c r="D2" s="2" t="s">
        <v>79</v>
      </c>
      <c r="E2" s="2"/>
      <c r="F2" s="2"/>
      <c r="G2" s="2"/>
    </row>
    <row r="3" spans="1:7" ht="16" x14ac:dyDescent="0.2">
      <c r="A3" s="2" t="s">
        <v>80</v>
      </c>
      <c r="B3" s="2" t="s">
        <v>81</v>
      </c>
      <c r="C3" s="2" t="s">
        <v>82</v>
      </c>
      <c r="D3" s="20" t="s">
        <v>83</v>
      </c>
      <c r="E3" s="20"/>
      <c r="F3" s="20"/>
      <c r="G3" s="20"/>
    </row>
    <row r="4" spans="1:7" ht="16" x14ac:dyDescent="0.2">
      <c r="A4" s="2" t="s">
        <v>84</v>
      </c>
      <c r="B4" s="2" t="s">
        <v>85</v>
      </c>
      <c r="C4" s="2" t="s">
        <v>86</v>
      </c>
      <c r="D4" s="20" t="s">
        <v>87</v>
      </c>
      <c r="E4" s="20"/>
      <c r="F4" s="20"/>
      <c r="G4" s="20"/>
    </row>
    <row r="5" spans="1:7" ht="32" x14ac:dyDescent="0.2">
      <c r="A5" s="2" t="s">
        <v>88</v>
      </c>
      <c r="B5" s="2" t="s">
        <v>89</v>
      </c>
      <c r="C5" s="2" t="s">
        <v>90</v>
      </c>
      <c r="D5" s="20" t="s">
        <v>91</v>
      </c>
      <c r="E5" s="20"/>
      <c r="F5" s="20"/>
      <c r="G5" s="20"/>
    </row>
    <row r="6" spans="1:7" ht="16" x14ac:dyDescent="0.2">
      <c r="A6" s="2" t="s">
        <v>92</v>
      </c>
      <c r="B6" s="2" t="s">
        <v>93</v>
      </c>
      <c r="C6" s="2" t="s">
        <v>94</v>
      </c>
      <c r="D6" s="20" t="s">
        <v>95</v>
      </c>
      <c r="E6" s="20"/>
      <c r="F6" s="20"/>
      <c r="G6" s="20"/>
    </row>
    <row r="7" spans="1:7" ht="16" x14ac:dyDescent="0.2">
      <c r="A7" s="2" t="s">
        <v>96</v>
      </c>
      <c r="B7" s="2" t="s">
        <v>97</v>
      </c>
      <c r="C7" s="2" t="s">
        <v>94</v>
      </c>
      <c r="D7" s="20" t="s">
        <v>98</v>
      </c>
      <c r="E7" s="20"/>
      <c r="F7" s="20"/>
      <c r="G7" s="20"/>
    </row>
    <row r="8" spans="1:7" ht="16" x14ac:dyDescent="0.2">
      <c r="A8" s="2" t="s">
        <v>99</v>
      </c>
      <c r="B8" s="2" t="s">
        <v>93</v>
      </c>
      <c r="C8" s="2" t="s">
        <v>82</v>
      </c>
      <c r="D8" s="20" t="s">
        <v>100</v>
      </c>
      <c r="E8" s="20"/>
      <c r="F8" s="20"/>
      <c r="G8" s="20"/>
    </row>
    <row r="9" spans="1:7" ht="16" x14ac:dyDescent="0.2">
      <c r="A9" s="2" t="s">
        <v>101</v>
      </c>
      <c r="B9" s="2" t="s">
        <v>81</v>
      </c>
      <c r="C9" s="2" t="s">
        <v>82</v>
      </c>
      <c r="D9" s="20" t="s">
        <v>102</v>
      </c>
      <c r="E9" s="20"/>
      <c r="F9" s="2"/>
      <c r="G9" s="2"/>
    </row>
    <row r="10" spans="1:7" ht="16" x14ac:dyDescent="0.2">
      <c r="A10" s="2" t="s">
        <v>103</v>
      </c>
      <c r="B10" s="2" t="s">
        <v>97</v>
      </c>
      <c r="C10" s="2" t="s">
        <v>94</v>
      </c>
      <c r="D10" s="20" t="s">
        <v>104</v>
      </c>
      <c r="E10" s="20"/>
      <c r="F10" s="20"/>
      <c r="G10" s="2"/>
    </row>
    <row r="11" spans="1:7" ht="16" x14ac:dyDescent="0.2">
      <c r="A11" s="2" t="s">
        <v>105</v>
      </c>
      <c r="B11" s="2" t="s">
        <v>81</v>
      </c>
      <c r="C11" s="2" t="s">
        <v>94</v>
      </c>
      <c r="D11" s="20" t="s">
        <v>106</v>
      </c>
      <c r="E11" s="20"/>
      <c r="F11" s="2"/>
      <c r="G11" s="2"/>
    </row>
  </sheetData>
  <mergeCells count="10">
    <mergeCell ref="D8:G8"/>
    <mergeCell ref="D9:E9"/>
    <mergeCell ref="D10:F10"/>
    <mergeCell ref="D11:E11"/>
    <mergeCell ref="A1:E1"/>
    <mergeCell ref="D3:G3"/>
    <mergeCell ref="D4:G4"/>
    <mergeCell ref="D5:G5"/>
    <mergeCell ref="D6:G6"/>
    <mergeCell ref="D7:G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1D49-ED29-CD4F-A373-224B9225DDD3}">
  <dimension ref="A1:F10"/>
  <sheetViews>
    <sheetView zoomScaleNormal="150" zoomScaleSheetLayoutView="100" workbookViewId="0">
      <selection activeCell="D10" sqref="D10"/>
    </sheetView>
  </sheetViews>
  <sheetFormatPr baseColWidth="10" defaultColWidth="8.83203125" defaultRowHeight="15" x14ac:dyDescent="0.2"/>
  <cols>
    <col min="1" max="1" width="75" customWidth="1"/>
  </cols>
  <sheetData>
    <row r="1" spans="1:6" ht="19" x14ac:dyDescent="0.25">
      <c r="A1" s="21" t="s">
        <v>107</v>
      </c>
      <c r="B1" s="21"/>
      <c r="C1" s="21"/>
      <c r="D1" s="21"/>
      <c r="E1" s="2"/>
      <c r="F1" s="2"/>
    </row>
    <row r="2" spans="1:6" x14ac:dyDescent="0.2">
      <c r="A2" s="20" t="s">
        <v>108</v>
      </c>
      <c r="B2" s="20"/>
      <c r="C2" s="20"/>
      <c r="D2" s="20"/>
      <c r="E2" s="20"/>
      <c r="F2" s="2"/>
    </row>
    <row r="3" spans="1:6" x14ac:dyDescent="0.2">
      <c r="A3" s="20" t="s">
        <v>109</v>
      </c>
      <c r="B3" s="20"/>
      <c r="C3" s="20"/>
      <c r="D3" s="20"/>
      <c r="E3" s="20"/>
      <c r="F3" s="2"/>
    </row>
    <row r="4" spans="1:6" x14ac:dyDescent="0.2">
      <c r="A4" s="20" t="s">
        <v>110</v>
      </c>
      <c r="B4" s="20"/>
      <c r="C4" s="20"/>
      <c r="D4" s="20"/>
      <c r="E4" s="20"/>
      <c r="F4" s="2"/>
    </row>
    <row r="5" spans="1:6" x14ac:dyDescent="0.2">
      <c r="A5" s="20" t="s">
        <v>111</v>
      </c>
      <c r="B5" s="20"/>
      <c r="C5" s="20"/>
      <c r="D5" s="20"/>
      <c r="E5" s="20"/>
      <c r="F5" s="2"/>
    </row>
    <row r="6" spans="1:6" x14ac:dyDescent="0.2">
      <c r="A6" s="20" t="s">
        <v>112</v>
      </c>
      <c r="B6" s="20"/>
      <c r="C6" s="20"/>
      <c r="D6" s="20"/>
      <c r="E6" s="2"/>
      <c r="F6" s="2"/>
    </row>
    <row r="7" spans="1:6" x14ac:dyDescent="0.2">
      <c r="A7" s="20" t="s">
        <v>113</v>
      </c>
      <c r="B7" s="20"/>
      <c r="C7" s="20"/>
      <c r="D7" s="20"/>
      <c r="E7" s="20"/>
      <c r="F7" s="20"/>
    </row>
    <row r="8" spans="1:6" x14ac:dyDescent="0.2">
      <c r="A8" s="20" t="s">
        <v>114</v>
      </c>
      <c r="B8" s="20"/>
      <c r="C8" s="20"/>
      <c r="D8" s="20"/>
      <c r="E8" s="20"/>
      <c r="F8" s="2"/>
    </row>
    <row r="9" spans="1:6" x14ac:dyDescent="0.2">
      <c r="A9" s="20" t="s">
        <v>115</v>
      </c>
      <c r="B9" s="20"/>
      <c r="C9" s="2"/>
      <c r="D9" s="2"/>
      <c r="E9" s="2"/>
      <c r="F9" s="2"/>
    </row>
    <row r="10" spans="1:6" x14ac:dyDescent="0.2">
      <c r="A10" s="20" t="s">
        <v>116</v>
      </c>
      <c r="B10" s="20"/>
      <c r="C10" s="20"/>
      <c r="D10" s="2"/>
      <c r="E10" s="2"/>
      <c r="F10" s="2"/>
    </row>
  </sheetData>
  <mergeCells count="10">
    <mergeCell ref="A7:F7"/>
    <mergeCell ref="A8:E8"/>
    <mergeCell ref="A9:B9"/>
    <mergeCell ref="A10:C10"/>
    <mergeCell ref="A1:D1"/>
    <mergeCell ref="A2:E2"/>
    <mergeCell ref="A3:E3"/>
    <mergeCell ref="A4:E4"/>
    <mergeCell ref="A5:E5"/>
    <mergeCell ref="A6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9147-E2F9-6E4C-BE18-70CBCF4567FD}">
  <dimension ref="A1:E9"/>
  <sheetViews>
    <sheetView zoomScaleNormal="150" zoomScaleSheetLayoutView="100" workbookViewId="0">
      <selection activeCell="B14" sqref="B14"/>
    </sheetView>
  </sheetViews>
  <sheetFormatPr baseColWidth="10" defaultColWidth="8.83203125" defaultRowHeight="15" x14ac:dyDescent="0.2"/>
  <cols>
    <col min="1" max="2" width="34.5" bestFit="1" customWidth="1"/>
    <col min="3" max="3" width="11.6640625" bestFit="1" customWidth="1"/>
  </cols>
  <sheetData>
    <row r="1" spans="1:5" ht="19" x14ac:dyDescent="0.25">
      <c r="A1" s="21" t="s">
        <v>117</v>
      </c>
      <c r="B1" s="21"/>
      <c r="C1" s="21"/>
      <c r="D1" s="21"/>
      <c r="E1" s="21"/>
    </row>
    <row r="2" spans="1:5" ht="16" x14ac:dyDescent="0.2">
      <c r="A2" s="2" t="s">
        <v>0</v>
      </c>
      <c r="B2" s="2" t="s">
        <v>118</v>
      </c>
      <c r="C2" s="20" t="s">
        <v>119</v>
      </c>
      <c r="D2" s="20"/>
      <c r="E2" s="2"/>
    </row>
    <row r="3" spans="1:5" ht="32" x14ac:dyDescent="0.2">
      <c r="A3" s="2" t="s">
        <v>120</v>
      </c>
      <c r="B3" s="2" t="s">
        <v>121</v>
      </c>
      <c r="C3" s="20" t="s">
        <v>122</v>
      </c>
      <c r="D3" s="20"/>
      <c r="E3" s="2"/>
    </row>
    <row r="4" spans="1:5" ht="32" x14ac:dyDescent="0.2">
      <c r="A4" s="2" t="s">
        <v>123</v>
      </c>
      <c r="B4" s="2" t="s">
        <v>124</v>
      </c>
      <c r="C4" s="20" t="s">
        <v>122</v>
      </c>
      <c r="D4" s="20"/>
      <c r="E4" s="2"/>
    </row>
    <row r="5" spans="1:5" ht="32" x14ac:dyDescent="0.2">
      <c r="A5" s="2" t="s">
        <v>125</v>
      </c>
      <c r="B5" s="2" t="s">
        <v>126</v>
      </c>
      <c r="C5" s="2" t="s">
        <v>127</v>
      </c>
      <c r="D5" s="2"/>
      <c r="E5" s="2"/>
    </row>
    <row r="6" spans="1:5" ht="32" x14ac:dyDescent="0.2">
      <c r="A6" s="2" t="s">
        <v>128</v>
      </c>
      <c r="B6" s="2" t="s">
        <v>129</v>
      </c>
      <c r="C6" s="2" t="s">
        <v>130</v>
      </c>
      <c r="D6" s="2"/>
      <c r="E6" s="2"/>
    </row>
    <row r="7" spans="1:5" ht="32" x14ac:dyDescent="0.2">
      <c r="A7" s="2" t="s">
        <v>131</v>
      </c>
      <c r="B7" s="2" t="s">
        <v>132</v>
      </c>
      <c r="C7" s="2" t="s">
        <v>133</v>
      </c>
      <c r="D7" s="2"/>
      <c r="E7" s="2"/>
    </row>
    <row r="8" spans="1:5" ht="16" x14ac:dyDescent="0.2">
      <c r="A8" s="2" t="s">
        <v>134</v>
      </c>
      <c r="B8" s="2" t="s">
        <v>135</v>
      </c>
      <c r="C8" s="2" t="s">
        <v>136</v>
      </c>
      <c r="D8" s="2"/>
      <c r="E8" s="2"/>
    </row>
    <row r="9" spans="1:5" ht="16" x14ac:dyDescent="0.2">
      <c r="A9" s="2" t="s">
        <v>137</v>
      </c>
      <c r="B9" s="2" t="s">
        <v>138</v>
      </c>
      <c r="C9" s="20" t="s">
        <v>139</v>
      </c>
      <c r="D9" s="20"/>
      <c r="E9" s="2"/>
    </row>
  </sheetData>
  <mergeCells count="5">
    <mergeCell ref="A1:E1"/>
    <mergeCell ref="C2:D2"/>
    <mergeCell ref="C3:D3"/>
    <mergeCell ref="C4:D4"/>
    <mergeCell ref="C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6651-2059-3048-8A60-9A9881FC2A19}">
  <dimension ref="A1:E10"/>
  <sheetViews>
    <sheetView zoomScaleNormal="150" zoomScaleSheetLayoutView="100" workbookViewId="0">
      <selection activeCell="D18" sqref="D18"/>
    </sheetView>
  </sheetViews>
  <sheetFormatPr baseColWidth="10" defaultColWidth="8.83203125" defaultRowHeight="15" x14ac:dyDescent="0.2"/>
  <cols>
    <col min="1" max="1" width="26.1640625" bestFit="1" customWidth="1"/>
    <col min="2" max="2" width="12.1640625" customWidth="1"/>
    <col min="3" max="3" width="15.6640625" customWidth="1"/>
    <col min="4" max="4" width="44.1640625" customWidth="1"/>
    <col min="5" max="5" width="45.33203125" customWidth="1"/>
  </cols>
  <sheetData>
    <row r="1" spans="1:5" ht="16" x14ac:dyDescent="0.2">
      <c r="A1" s="3" t="s">
        <v>57</v>
      </c>
      <c r="B1" s="13">
        <v>170000</v>
      </c>
      <c r="C1" s="12">
        <v>0.8</v>
      </c>
      <c r="D1" s="7">
        <f>B1*C1</f>
        <v>136000</v>
      </c>
    </row>
    <row r="2" spans="1:5" ht="16" x14ac:dyDescent="0.2">
      <c r="A2" s="3" t="s">
        <v>58</v>
      </c>
      <c r="B2" s="3">
        <v>25</v>
      </c>
    </row>
    <row r="3" spans="1:5" ht="16" x14ac:dyDescent="0.2">
      <c r="A3" s="3" t="s">
        <v>14</v>
      </c>
      <c r="B3" s="3"/>
    </row>
    <row r="4" spans="1:5" ht="16" x14ac:dyDescent="0.2">
      <c r="A4" s="3" t="s">
        <v>153</v>
      </c>
      <c r="B4" s="3"/>
    </row>
    <row r="8" spans="1:5" x14ac:dyDescent="0.2">
      <c r="A8" s="5" t="s">
        <v>51</v>
      </c>
      <c r="B8" s="5" t="s">
        <v>18</v>
      </c>
      <c r="C8" s="5" t="s">
        <v>53</v>
      </c>
      <c r="D8" s="5" t="s">
        <v>52</v>
      </c>
      <c r="E8" s="5" t="s">
        <v>24</v>
      </c>
    </row>
    <row r="9" spans="1:5" x14ac:dyDescent="0.2">
      <c r="A9" t="s">
        <v>54</v>
      </c>
    </row>
    <row r="10" spans="1:5" x14ac:dyDescent="0.2">
      <c r="A10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57A2-AED2-E04F-BAE4-CEB7A452BC9B}">
  <dimension ref="A1:D26"/>
  <sheetViews>
    <sheetView zoomScaleNormal="100" zoomScaleSheetLayoutView="100" workbookViewId="0"/>
  </sheetViews>
  <sheetFormatPr baseColWidth="10" defaultColWidth="8.83203125" defaultRowHeight="15" x14ac:dyDescent="0.2"/>
  <cols>
    <col min="1" max="1" width="18.33203125" customWidth="1"/>
    <col min="2" max="2" width="10.1640625" style="15" bestFit="1" customWidth="1"/>
    <col min="4" max="4" width="29" customWidth="1"/>
  </cols>
  <sheetData>
    <row r="1" spans="1:4" x14ac:dyDescent="0.2">
      <c r="A1" t="s">
        <v>59</v>
      </c>
      <c r="B1" s="15" t="s">
        <v>57</v>
      </c>
      <c r="C1" t="s">
        <v>61</v>
      </c>
      <c r="D1" t="s">
        <v>62</v>
      </c>
    </row>
    <row r="2" spans="1:4" x14ac:dyDescent="0.2">
      <c r="A2" t="s">
        <v>60</v>
      </c>
      <c r="B2" s="15">
        <v>0</v>
      </c>
      <c r="C2" s="14">
        <v>45901</v>
      </c>
      <c r="D2" t="s">
        <v>143</v>
      </c>
    </row>
    <row r="3" spans="1:4" x14ac:dyDescent="0.2">
      <c r="A3" t="s">
        <v>63</v>
      </c>
      <c r="B3" s="15">
        <v>0</v>
      </c>
      <c r="C3" s="14">
        <v>45838</v>
      </c>
    </row>
    <row r="4" spans="1:4" x14ac:dyDescent="0.2">
      <c r="A4" t="s">
        <v>64</v>
      </c>
      <c r="B4" s="17">
        <v>400</v>
      </c>
      <c r="C4" s="18">
        <v>45858</v>
      </c>
    </row>
    <row r="5" spans="1:4" x14ac:dyDescent="0.2">
      <c r="A5" t="s">
        <v>66</v>
      </c>
      <c r="B5" s="17">
        <f>17000+450</f>
        <v>17450</v>
      </c>
      <c r="C5" s="18">
        <v>45858</v>
      </c>
    </row>
    <row r="6" spans="1:4" x14ac:dyDescent="0.2">
      <c r="A6" t="s">
        <v>68</v>
      </c>
      <c r="B6" s="17">
        <v>4500</v>
      </c>
      <c r="C6" s="18">
        <v>45858</v>
      </c>
    </row>
    <row r="7" spans="1:4" x14ac:dyDescent="0.2">
      <c r="A7" t="s">
        <v>65</v>
      </c>
      <c r="B7" s="15">
        <v>17000</v>
      </c>
      <c r="C7" s="14">
        <v>45908</v>
      </c>
    </row>
    <row r="8" spans="1:4" x14ac:dyDescent="0.2">
      <c r="A8" t="s">
        <v>67</v>
      </c>
      <c r="B8" s="15">
        <v>17000</v>
      </c>
      <c r="C8" s="14">
        <v>45908</v>
      </c>
    </row>
    <row r="9" spans="1:4" x14ac:dyDescent="0.2">
      <c r="A9" t="s">
        <v>42</v>
      </c>
      <c r="B9" s="15">
        <v>100</v>
      </c>
    </row>
    <row r="10" spans="1:4" x14ac:dyDescent="0.2">
      <c r="A10" t="s">
        <v>69</v>
      </c>
      <c r="B10" s="15">
        <v>2000</v>
      </c>
      <c r="C10" s="14">
        <v>45915</v>
      </c>
    </row>
    <row r="11" spans="1:4" x14ac:dyDescent="0.2">
      <c r="A11" t="s">
        <v>70</v>
      </c>
      <c r="B11" s="15">
        <v>2800</v>
      </c>
      <c r="C11" s="14">
        <v>45915</v>
      </c>
    </row>
    <row r="16" spans="1:4" x14ac:dyDescent="0.2">
      <c r="A16" t="s">
        <v>49</v>
      </c>
      <c r="B16" s="15">
        <f>SUM(B2:B12)</f>
        <v>61250</v>
      </c>
    </row>
    <row r="18" spans="1:3" x14ac:dyDescent="0.2">
      <c r="A18" t="s">
        <v>141</v>
      </c>
      <c r="B18" s="15">
        <v>4600</v>
      </c>
    </row>
    <row r="19" spans="1:3" x14ac:dyDescent="0.2">
      <c r="A19" t="s">
        <v>142</v>
      </c>
      <c r="B19" s="15">
        <f>B16-B18</f>
        <v>56650</v>
      </c>
    </row>
    <row r="23" spans="1:3" x14ac:dyDescent="0.2">
      <c r="A23" t="s">
        <v>154</v>
      </c>
      <c r="B23" s="15">
        <v>200000</v>
      </c>
    </row>
    <row r="24" spans="1:3" x14ac:dyDescent="0.2">
      <c r="A24" t="s">
        <v>149</v>
      </c>
      <c r="B24" s="15">
        <v>136000</v>
      </c>
      <c r="C24">
        <f>170000-136000</f>
        <v>34000</v>
      </c>
    </row>
    <row r="25" spans="1:3" x14ac:dyDescent="0.2">
      <c r="A25" t="s">
        <v>155</v>
      </c>
      <c r="C25">
        <f>170000*0.1</f>
        <v>17000</v>
      </c>
    </row>
    <row r="26" spans="1:3" x14ac:dyDescent="0.2">
      <c r="A26" t="s">
        <v>156</v>
      </c>
      <c r="C26">
        <f>SUM(C24:C25)</f>
        <v>51000</v>
      </c>
    </row>
  </sheetData>
  <pageMargins left="0.7" right="0.7" top="0.75" bottom="0.75" header="0.3" footer="0.3"/>
  <pageSetup orientation="portrait" horizontalDpi="90" verticalDpi="9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448D-61B6-A647-BDC1-08711A8EDAE3}">
  <dimension ref="A1:D13"/>
  <sheetViews>
    <sheetView zoomScaleNormal="150" zoomScaleSheetLayoutView="100" workbookViewId="0">
      <selection activeCell="A13" sqref="A13"/>
    </sheetView>
  </sheetViews>
  <sheetFormatPr baseColWidth="10" defaultColWidth="8.83203125" defaultRowHeight="15" x14ac:dyDescent="0.2"/>
  <cols>
    <col min="1" max="1" width="23" customWidth="1"/>
    <col min="2" max="2" width="18.5" customWidth="1"/>
    <col min="3" max="3" width="41.1640625" customWidth="1"/>
  </cols>
  <sheetData>
    <row r="1" spans="1:4" x14ac:dyDescent="0.2">
      <c r="A1" s="5" t="s">
        <v>157</v>
      </c>
      <c r="B1" s="5" t="s">
        <v>158</v>
      </c>
      <c r="C1" s="5" t="s">
        <v>24</v>
      </c>
      <c r="D1" s="5" t="s">
        <v>159</v>
      </c>
    </row>
    <row r="2" spans="1:4" x14ac:dyDescent="0.2">
      <c r="A2" t="s">
        <v>161</v>
      </c>
      <c r="B2">
        <v>259</v>
      </c>
      <c r="D2" s="19" t="s">
        <v>160</v>
      </c>
    </row>
    <row r="3" spans="1:4" x14ac:dyDescent="0.2">
      <c r="A3" t="s">
        <v>163</v>
      </c>
      <c r="B3">
        <v>57.8</v>
      </c>
      <c r="D3" s="19" t="s">
        <v>162</v>
      </c>
    </row>
    <row r="4" spans="1:4" x14ac:dyDescent="0.2">
      <c r="A4" t="s">
        <v>163</v>
      </c>
      <c r="B4">
        <v>57.8</v>
      </c>
      <c r="D4" s="19"/>
    </row>
    <row r="5" spans="1:4" x14ac:dyDescent="0.2">
      <c r="A5" t="s">
        <v>163</v>
      </c>
      <c r="B5">
        <v>57.8</v>
      </c>
      <c r="D5" s="19"/>
    </row>
    <row r="6" spans="1:4" x14ac:dyDescent="0.2">
      <c r="A6" t="s">
        <v>163</v>
      </c>
      <c r="B6">
        <v>57.8</v>
      </c>
      <c r="D6" s="19"/>
    </row>
    <row r="7" spans="1:4" x14ac:dyDescent="0.2">
      <c r="A7" t="s">
        <v>164</v>
      </c>
      <c r="B7">
        <v>145.66</v>
      </c>
    </row>
    <row r="8" spans="1:4" x14ac:dyDescent="0.2">
      <c r="A8" t="s">
        <v>164</v>
      </c>
      <c r="B8">
        <v>145.66</v>
      </c>
    </row>
    <row r="10" spans="1:4" x14ac:dyDescent="0.2">
      <c r="A10" t="s">
        <v>165</v>
      </c>
      <c r="B10">
        <v>113</v>
      </c>
    </row>
    <row r="11" spans="1:4" x14ac:dyDescent="0.2">
      <c r="A11" t="s">
        <v>185</v>
      </c>
      <c r="B11">
        <v>70</v>
      </c>
      <c r="C11" t="s">
        <v>186</v>
      </c>
    </row>
    <row r="13" spans="1:4" x14ac:dyDescent="0.2">
      <c r="A13" t="s">
        <v>49</v>
      </c>
      <c r="B13">
        <f>SUM(B2:B12)</f>
        <v>964.52</v>
      </c>
    </row>
  </sheetData>
  <hyperlinks>
    <hyperlink ref="D2" r:id="rId1" xr:uid="{EB38E1FB-4D52-7443-AC7D-EF74BAD90FA3}"/>
    <hyperlink ref="D3" r:id="rId2" xr:uid="{11CAFAF7-66CB-714C-BB90-CE50BE06163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59CF-867A-7444-8FC7-C4DB175DE78B}">
  <dimension ref="A1:D26"/>
  <sheetViews>
    <sheetView topLeftCell="A2" zoomScaleNormal="150" zoomScaleSheetLayoutView="100" workbookViewId="0">
      <selection activeCell="A6" sqref="A6"/>
    </sheetView>
  </sheetViews>
  <sheetFormatPr baseColWidth="10" defaultColWidth="8.83203125" defaultRowHeight="15" x14ac:dyDescent="0.2"/>
  <cols>
    <col min="1" max="1" width="28.6640625" bestFit="1" customWidth="1"/>
    <col min="2" max="2" width="10.1640625" bestFit="1" customWidth="1"/>
  </cols>
  <sheetData>
    <row r="1" spans="1:4" ht="16" x14ac:dyDescent="0.2">
      <c r="A1" s="1" t="s">
        <v>0</v>
      </c>
      <c r="B1" s="1" t="s">
        <v>1</v>
      </c>
      <c r="C1" s="5" t="s">
        <v>147</v>
      </c>
    </row>
    <row r="2" spans="1:4" ht="16" x14ac:dyDescent="0.2">
      <c r="A2" s="2" t="s">
        <v>2</v>
      </c>
      <c r="B2" s="2">
        <v>700</v>
      </c>
    </row>
    <row r="3" spans="1:4" ht="16" x14ac:dyDescent="0.2">
      <c r="A3" s="2" t="s">
        <v>3</v>
      </c>
      <c r="B3" s="2">
        <v>30</v>
      </c>
      <c r="C3">
        <v>70</v>
      </c>
    </row>
    <row r="4" spans="1:4" ht="16" x14ac:dyDescent="0.2">
      <c r="A4" s="2" t="s">
        <v>4</v>
      </c>
      <c r="B4" s="2">
        <v>30</v>
      </c>
    </row>
    <row r="5" spans="1:4" ht="16" x14ac:dyDescent="0.2">
      <c r="A5" s="2" t="s">
        <v>42</v>
      </c>
      <c r="B5" s="2">
        <v>100</v>
      </c>
    </row>
    <row r="6" spans="1:4" ht="16" x14ac:dyDescent="0.2">
      <c r="A6" s="2" t="s">
        <v>5</v>
      </c>
      <c r="B6" s="2">
        <v>0</v>
      </c>
    </row>
    <row r="7" spans="1:4" ht="16" x14ac:dyDescent="0.2">
      <c r="A7" s="2" t="s">
        <v>6</v>
      </c>
      <c r="B7" s="2">
        <v>50</v>
      </c>
    </row>
    <row r="8" spans="1:4" ht="16" x14ac:dyDescent="0.2">
      <c r="A8" s="2" t="s">
        <v>7</v>
      </c>
      <c r="B8" s="2">
        <v>0</v>
      </c>
      <c r="C8">
        <v>150</v>
      </c>
    </row>
    <row r="9" spans="1:4" ht="16" x14ac:dyDescent="0.2">
      <c r="A9" s="2" t="s">
        <v>8</v>
      </c>
      <c r="B9" s="2">
        <v>0</v>
      </c>
      <c r="C9">
        <v>300</v>
      </c>
    </row>
    <row r="10" spans="1:4" ht="16" x14ac:dyDescent="0.2">
      <c r="A10" s="2" t="s">
        <v>9</v>
      </c>
      <c r="B10" s="2">
        <v>120</v>
      </c>
    </row>
    <row r="11" spans="1:4" ht="16" x14ac:dyDescent="0.2">
      <c r="A11" s="2" t="s">
        <v>10</v>
      </c>
      <c r="B11" s="2">
        <v>0</v>
      </c>
      <c r="C11">
        <v>20</v>
      </c>
    </row>
    <row r="12" spans="1:4" ht="16" x14ac:dyDescent="0.2">
      <c r="A12" s="2" t="s">
        <v>11</v>
      </c>
      <c r="B12" s="2">
        <v>0</v>
      </c>
      <c r="C12">
        <v>100</v>
      </c>
    </row>
    <row r="13" spans="1:4" ht="16" x14ac:dyDescent="0.2">
      <c r="A13" s="4" t="s">
        <v>15</v>
      </c>
      <c r="B13" s="4">
        <f>SUM(B2:B12)</f>
        <v>1030</v>
      </c>
      <c r="C13" s="4">
        <f>SUM(C2:C12)</f>
        <v>640</v>
      </c>
      <c r="D13">
        <f>SUM(B13:C13)</f>
        <v>1670</v>
      </c>
    </row>
    <row r="14" spans="1:4" ht="16" x14ac:dyDescent="0.2">
      <c r="A14" s="2" t="s">
        <v>12</v>
      </c>
      <c r="B14" s="2">
        <v>5000</v>
      </c>
    </row>
    <row r="15" spans="1:4" ht="16" x14ac:dyDescent="0.2">
      <c r="A15" s="2" t="s">
        <v>13</v>
      </c>
      <c r="B15" s="2">
        <f>B14-B13</f>
        <v>3970</v>
      </c>
    </row>
    <row r="21" spans="1:4" x14ac:dyDescent="0.2">
      <c r="A21" t="s">
        <v>142</v>
      </c>
      <c r="B21">
        <v>85000</v>
      </c>
      <c r="C21">
        <v>12000</v>
      </c>
      <c r="D21">
        <f>SUM(B21:C21)</f>
        <v>97000</v>
      </c>
    </row>
    <row r="22" spans="1:4" x14ac:dyDescent="0.2">
      <c r="A22" t="s">
        <v>148</v>
      </c>
      <c r="D22">
        <v>30000</v>
      </c>
    </row>
    <row r="23" spans="1:4" x14ac:dyDescent="0.2">
      <c r="D23">
        <f>D21-D22</f>
        <v>67000</v>
      </c>
    </row>
    <row r="25" spans="1:4" x14ac:dyDescent="0.2">
      <c r="A25" t="s">
        <v>149</v>
      </c>
      <c r="D25">
        <v>52000</v>
      </c>
    </row>
    <row r="26" spans="1:4" x14ac:dyDescent="0.2">
      <c r="A26" t="s">
        <v>150</v>
      </c>
      <c r="D26">
        <f>D23-D25</f>
        <v>15000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19AA-55E1-E34D-8DBC-45C45C0895C9}">
  <dimension ref="A1:B11"/>
  <sheetViews>
    <sheetView zoomScaleNormal="150" zoomScaleSheetLayoutView="100" workbookViewId="0">
      <selection activeCell="B11" sqref="B11"/>
    </sheetView>
  </sheetViews>
  <sheetFormatPr baseColWidth="10" defaultColWidth="8.83203125" defaultRowHeight="15" x14ac:dyDescent="0.2"/>
  <cols>
    <col min="1" max="1" width="32.6640625" customWidth="1"/>
    <col min="2" max="2" width="42.5" customWidth="1"/>
  </cols>
  <sheetData>
    <row r="1" spans="1:2" x14ac:dyDescent="0.2">
      <c r="A1" t="s">
        <v>23</v>
      </c>
      <c r="B1" t="s">
        <v>24</v>
      </c>
    </row>
    <row r="2" spans="1:2" x14ac:dyDescent="0.2">
      <c r="A2" t="s">
        <v>25</v>
      </c>
    </row>
    <row r="3" spans="1:2" x14ac:dyDescent="0.2">
      <c r="A3" t="s">
        <v>26</v>
      </c>
      <c r="B3" t="s">
        <v>27</v>
      </c>
    </row>
    <row r="4" spans="1:2" x14ac:dyDescent="0.2">
      <c r="A4" t="s">
        <v>28</v>
      </c>
    </row>
    <row r="5" spans="1:2" x14ac:dyDescent="0.2">
      <c r="A5" t="s">
        <v>29</v>
      </c>
    </row>
    <row r="6" spans="1:2" x14ac:dyDescent="0.2">
      <c r="A6" t="s">
        <v>30</v>
      </c>
    </row>
    <row r="7" spans="1:2" x14ac:dyDescent="0.2">
      <c r="A7" t="s">
        <v>31</v>
      </c>
      <c r="B7" t="s">
        <v>32</v>
      </c>
    </row>
    <row r="8" spans="1:2" x14ac:dyDescent="0.2">
      <c r="A8" t="s">
        <v>33</v>
      </c>
      <c r="B8" t="s">
        <v>34</v>
      </c>
    </row>
    <row r="9" spans="1:2" x14ac:dyDescent="0.2">
      <c r="A9" t="s">
        <v>35</v>
      </c>
    </row>
    <row r="10" spans="1:2" x14ac:dyDescent="0.2">
      <c r="A10" t="s">
        <v>36</v>
      </c>
    </row>
    <row r="11" spans="1:2" x14ac:dyDescent="0.2">
      <c r="A11" t="s">
        <v>37</v>
      </c>
      <c r="B11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C408-B769-9F4E-8851-C1EAD5FC3EAA}">
  <dimension ref="A2:E7"/>
  <sheetViews>
    <sheetView zoomScaleNormal="150" zoomScaleSheetLayoutView="100" workbookViewId="0">
      <selection activeCell="H25" sqref="H25"/>
    </sheetView>
  </sheetViews>
  <sheetFormatPr baseColWidth="10" defaultColWidth="8.83203125" defaultRowHeight="15" x14ac:dyDescent="0.2"/>
  <cols>
    <col min="1" max="1" width="15.33203125" customWidth="1"/>
    <col min="2" max="2" width="17.33203125" customWidth="1"/>
    <col min="3" max="3" width="16.83203125" customWidth="1"/>
    <col min="4" max="4" width="23.83203125" customWidth="1"/>
    <col min="5" max="5" width="14.5" customWidth="1"/>
  </cols>
  <sheetData>
    <row r="2" spans="1:5" x14ac:dyDescent="0.2">
      <c r="A2" s="5" t="s">
        <v>169</v>
      </c>
      <c r="B2" s="5" t="s">
        <v>170</v>
      </c>
      <c r="C2" s="5" t="s">
        <v>174</v>
      </c>
      <c r="D2" s="5" t="s">
        <v>171</v>
      </c>
      <c r="E2" s="5" t="s">
        <v>175</v>
      </c>
    </row>
    <row r="3" spans="1:5" x14ac:dyDescent="0.2">
      <c r="A3" t="s">
        <v>168</v>
      </c>
      <c r="B3" t="s">
        <v>180</v>
      </c>
      <c r="C3" t="s">
        <v>176</v>
      </c>
      <c r="D3" t="s">
        <v>177</v>
      </c>
      <c r="E3" s="14"/>
    </row>
    <row r="4" spans="1:5" x14ac:dyDescent="0.2">
      <c r="A4" t="s">
        <v>166</v>
      </c>
      <c r="B4" t="s">
        <v>172</v>
      </c>
      <c r="C4" t="s">
        <v>178</v>
      </c>
      <c r="D4" t="s">
        <v>179</v>
      </c>
      <c r="E4" s="14"/>
    </row>
    <row r="5" spans="1:5" x14ac:dyDescent="0.2">
      <c r="A5" t="s">
        <v>167</v>
      </c>
      <c r="B5" t="s">
        <v>173</v>
      </c>
      <c r="C5" t="s">
        <v>176</v>
      </c>
      <c r="D5" t="s">
        <v>177</v>
      </c>
      <c r="E5" s="14">
        <v>45884</v>
      </c>
    </row>
    <row r="6" spans="1:5" x14ac:dyDescent="0.2">
      <c r="A6" t="s">
        <v>183</v>
      </c>
      <c r="B6" t="s">
        <v>182</v>
      </c>
      <c r="C6" t="s">
        <v>181</v>
      </c>
      <c r="E6" s="14">
        <v>45895</v>
      </c>
    </row>
    <row r="7" spans="1:5" x14ac:dyDescent="0.2">
      <c r="A7" t="s">
        <v>184</v>
      </c>
      <c r="B7" t="s">
        <v>182</v>
      </c>
      <c r="C7" t="s">
        <v>176</v>
      </c>
      <c r="E7" s="14">
        <v>45895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Business Cases</vt:lpstr>
      <vt:lpstr>Inversión inicial</vt:lpstr>
      <vt:lpstr>Coste estimado por fase</vt:lpstr>
      <vt:lpstr>Pasos</vt:lpstr>
      <vt:lpstr>Hoja4</vt:lpstr>
      <vt:lpstr>Hipoteca</vt:lpstr>
      <vt:lpstr>Gastos verano 2025</vt:lpstr>
      <vt:lpstr>Alarma</vt:lpstr>
      <vt:lpstr>Gastos mensuales</vt:lpstr>
      <vt:lpstr>Ideas</vt:lpstr>
      <vt:lpstr>pastillas 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Casas, Eduardo (Allianz Technology)</dc:creator>
  <cp:lastModifiedBy>Garcia Casas, Eduardo (Allianz Technology)</cp:lastModifiedBy>
  <dcterms:created xsi:type="dcterms:W3CDTF">2025-05-31T18:01:16Z</dcterms:created>
  <dcterms:modified xsi:type="dcterms:W3CDTF">2025-12-05T10:19:24Z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2025-05-31T16:00:43Z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8a22908e-631e-4588-8e63-597d5cdbacc1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60, 0, 1, 1</vt:lpwstr>
  </property>
</Properties>
</file>